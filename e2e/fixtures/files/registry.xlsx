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договоров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Примечания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Реестр действующих договоров на 15.01.2026</t>
        </is>
      </c>
    </row>
    <row r="3">
      <c r="A3" t="inlineStr">
        <is>
          <t>№</t>
        </is>
      </c>
      <c r="B3" t="inlineStr">
        <is>
          <t>Контрагент</t>
        </is>
      </c>
      <c r="C3" t="inlineStr">
        <is>
          <t>Предмет</t>
        </is>
      </c>
      <c r="D3" t="inlineStr">
        <is>
          <t>Сумма, ₽</t>
        </is>
      </c>
      <c r="E3" t="inlineStr">
        <is>
          <t>Статус</t>
        </is>
      </c>
    </row>
    <row r="4">
      <c r="A4" t="n">
        <v>1</v>
      </c>
      <c r="B4" t="inlineStr">
        <is>
          <t>ООО «Ромашка»</t>
        </is>
      </c>
      <c r="C4" t="inlineStr">
        <is>
          <t>Сопровождение</t>
        </is>
      </c>
      <c r="D4" t="n">
        <v>100000</v>
      </c>
      <c r="E4" t="inlineStr">
        <is>
          <t>действует</t>
        </is>
      </c>
    </row>
    <row r="5">
      <c r="A5" t="n">
        <v>2</v>
      </c>
      <c r="B5" t="inlineStr">
        <is>
          <t>ИП Иванов И. И.</t>
        </is>
      </c>
      <c r="C5" t="inlineStr">
        <is>
          <t>Поставка</t>
        </is>
      </c>
      <c r="D5" t="n">
        <v>101250</v>
      </c>
      <c r="E5" t="inlineStr">
        <is>
          <t>продлён</t>
        </is>
      </c>
    </row>
    <row r="6">
      <c r="A6" t="n">
        <v>3</v>
      </c>
      <c r="B6" t="inlineStr">
        <is>
          <t>ООО «Василёк»</t>
        </is>
      </c>
      <c r="C6" t="inlineStr">
        <is>
          <t>Аренда</t>
        </is>
      </c>
      <c r="D6" t="n">
        <v>102500</v>
      </c>
      <c r="E6" t="inlineStr"/>
    </row>
    <row r="7">
      <c r="A7" t="n">
        <v>4</v>
      </c>
      <c r="B7" t="inlineStr">
        <is>
          <t>АО «Одуванчик»</t>
        </is>
      </c>
      <c r="C7" t="inlineStr">
        <is>
          <t>Консультации</t>
        </is>
      </c>
      <c r="D7" t="n">
        <v>103750</v>
      </c>
      <c r="E7" t="inlineStr">
        <is>
          <t>на подписании</t>
        </is>
      </c>
    </row>
    <row r="8">
      <c r="A8" t="n">
        <v>5</v>
      </c>
      <c r="B8" t="inlineStr">
        <is>
          <t>ООО «Клевер»</t>
        </is>
      </c>
      <c r="C8" t="inlineStr">
        <is>
          <t>Подряд</t>
        </is>
      </c>
      <c r="D8" t="n">
        <v>105000</v>
      </c>
      <c r="E8" t="inlineStr">
        <is>
          <t>закрыт</t>
        </is>
      </c>
    </row>
    <row r="9">
      <c r="A9" t="n">
        <v>6</v>
      </c>
      <c r="B9" t="inlineStr">
        <is>
          <t>ООО «Ромашка»</t>
        </is>
      </c>
      <c r="C9" t="inlineStr">
        <is>
          <t>Сопровождение</t>
        </is>
      </c>
      <c r="D9" t="n">
        <v>106250</v>
      </c>
      <c r="E9" t="inlineStr">
        <is>
          <t>действует</t>
        </is>
      </c>
    </row>
    <row r="10">
      <c r="A10" t="n">
        <v>7</v>
      </c>
      <c r="B10" t="inlineStr">
        <is>
          <t>ИП Иванов И. И.</t>
        </is>
      </c>
      <c r="C10" t="inlineStr">
        <is>
          <t>Поставка</t>
        </is>
      </c>
      <c r="E10" t="inlineStr">
        <is>
          <t>продлён</t>
        </is>
      </c>
    </row>
    <row r="11">
      <c r="A11" t="n">
        <v>8</v>
      </c>
      <c r="B11" t="inlineStr">
        <is>
          <t>ООО «Василёк»</t>
        </is>
      </c>
      <c r="C11" t="inlineStr">
        <is>
          <t>Аренда</t>
        </is>
      </c>
      <c r="D11" t="n">
        <v>108750</v>
      </c>
      <c r="E11" t="inlineStr"/>
    </row>
    <row r="12">
      <c r="A12" t="n">
        <v>9</v>
      </c>
      <c r="B12" t="inlineStr">
        <is>
          <t>АО «Одуванчик»</t>
        </is>
      </c>
      <c r="C12" t="inlineStr">
        <is>
          <t>Консультации</t>
        </is>
      </c>
      <c r="D12" t="n">
        <v>110000</v>
      </c>
      <c r="E12" t="inlineStr">
        <is>
          <t>на подписании</t>
        </is>
      </c>
    </row>
    <row r="13">
      <c r="A13" t="n">
        <v>10</v>
      </c>
      <c r="B13" t="inlineStr">
        <is>
          <t>ООО «Клевер»</t>
        </is>
      </c>
      <c r="C13" t="inlineStr">
        <is>
          <t>Подряд</t>
        </is>
      </c>
      <c r="D13" t="n">
        <v>111250</v>
      </c>
      <c r="E13" t="inlineStr">
        <is>
          <t>закрыт</t>
        </is>
      </c>
    </row>
    <row r="14">
      <c r="A14" t="n">
        <v>11</v>
      </c>
      <c r="B14" t="inlineStr">
        <is>
          <t>ООО «Ромашка»</t>
        </is>
      </c>
      <c r="C14" t="inlineStr">
        <is>
          <t>Сопровождение</t>
        </is>
      </c>
      <c r="D14" t="n">
        <v>112500</v>
      </c>
      <c r="E14" t="inlineStr">
        <is>
          <t>действует</t>
        </is>
      </c>
    </row>
    <row r="15">
      <c r="A15" t="n">
        <v>12</v>
      </c>
      <c r="B15" t="inlineStr">
        <is>
          <t>ИП Иванов И. И.</t>
        </is>
      </c>
      <c r="C15" t="inlineStr">
        <is>
          <t>Поставка</t>
        </is>
      </c>
      <c r="D15" t="n">
        <v>113750</v>
      </c>
      <c r="E15" t="inlineStr">
        <is>
          <t>продлён</t>
        </is>
      </c>
    </row>
    <row r="16">
      <c r="A16" t="n">
        <v>13</v>
      </c>
      <c r="B16" t="inlineStr">
        <is>
          <t>ООО «Василёк»</t>
        </is>
      </c>
      <c r="C16" t="inlineStr">
        <is>
          <t>Аренда</t>
        </is>
      </c>
      <c r="D16" t="n">
        <v>115000</v>
      </c>
      <c r="E16" t="inlineStr"/>
    </row>
    <row r="17">
      <c r="A17" t="n">
        <v>14</v>
      </c>
      <c r="B17" t="inlineStr">
        <is>
          <t>АО «Одуванчик»</t>
        </is>
      </c>
      <c r="C17" t="inlineStr">
        <is>
          <t>Консультации</t>
        </is>
      </c>
      <c r="E17" t="inlineStr">
        <is>
          <t>на подписании</t>
        </is>
      </c>
    </row>
    <row r="18">
      <c r="A18" t="n">
        <v>15</v>
      </c>
      <c r="B18" t="inlineStr">
        <is>
          <t>ООО «Клевер»</t>
        </is>
      </c>
      <c r="C18" t="inlineStr">
        <is>
          <t>Подряд</t>
        </is>
      </c>
      <c r="D18" t="n">
        <v>117500</v>
      </c>
      <c r="E18" t="inlineStr">
        <is>
          <t>закрыт</t>
        </is>
      </c>
    </row>
    <row r="19">
      <c r="A19" t="n">
        <v>16</v>
      </c>
      <c r="B19" t="inlineStr">
        <is>
          <t>ООО «Ромашка»</t>
        </is>
      </c>
      <c r="C19" t="inlineStr">
        <is>
          <t>Сопровождение</t>
        </is>
      </c>
      <c r="D19" t="n">
        <v>118750</v>
      </c>
      <c r="E19" t="inlineStr">
        <is>
          <t>действует</t>
        </is>
      </c>
    </row>
    <row r="20">
      <c r="A20" t="n">
        <v>17</v>
      </c>
      <c r="B20" t="inlineStr">
        <is>
          <t>ИП Иванов И. И.</t>
        </is>
      </c>
      <c r="C20" t="inlineStr">
        <is>
          <t>Поставка</t>
        </is>
      </c>
      <c r="D20" t="n">
        <v>120000</v>
      </c>
      <c r="E20" t="inlineStr">
        <is>
          <t>продлён</t>
        </is>
      </c>
    </row>
    <row r="21">
      <c r="A21" t="n">
        <v>18</v>
      </c>
      <c r="B21" t="inlineStr">
        <is>
          <t>ООО «Василёк»</t>
        </is>
      </c>
      <c r="C21" t="inlineStr">
        <is>
          <t>Аренда</t>
        </is>
      </c>
      <c r="D21" t="n">
        <v>121250</v>
      </c>
      <c r="E21" t="inlineStr"/>
    </row>
    <row r="22">
      <c r="A22" t="n">
        <v>19</v>
      </c>
      <c r="B22" t="inlineStr">
        <is>
          <t>АО «Одуванчик»</t>
        </is>
      </c>
      <c r="C22" t="inlineStr">
        <is>
          <t>Консультации</t>
        </is>
      </c>
      <c r="D22" t="n">
        <v>122500</v>
      </c>
      <c r="E22" t="inlineStr">
        <is>
          <t>на подписании</t>
        </is>
      </c>
    </row>
    <row r="23">
      <c r="A23" t="n">
        <v>20</v>
      </c>
      <c r="B23" t="inlineStr">
        <is>
          <t>ООО «Клевер»</t>
        </is>
      </c>
      <c r="C23" t="inlineStr">
        <is>
          <t>Подряд</t>
        </is>
      </c>
      <c r="D23" t="n">
        <v>123750</v>
      </c>
      <c r="E23" t="inlineStr">
        <is>
          <t>закрыт</t>
        </is>
      </c>
    </row>
    <row r="24">
      <c r="A24" t="n">
        <v>21</v>
      </c>
      <c r="B24" t="inlineStr">
        <is>
          <t>ООО «Ромашка»</t>
        </is>
      </c>
      <c r="C24" t="inlineStr">
        <is>
          <t>Сопровождение</t>
        </is>
      </c>
      <c r="E24" t="inlineStr">
        <is>
          <t>действует</t>
        </is>
      </c>
    </row>
    <row r="25">
      <c r="A25" t="n">
        <v>22</v>
      </c>
      <c r="B25" t="inlineStr">
        <is>
          <t>ИП Иванов И. И.</t>
        </is>
      </c>
      <c r="C25" t="inlineStr">
        <is>
          <t>Поставка</t>
        </is>
      </c>
      <c r="D25" t="n">
        <v>126250</v>
      </c>
      <c r="E25" t="inlineStr">
        <is>
          <t>продлён</t>
        </is>
      </c>
    </row>
    <row r="26">
      <c r="A26" t="n">
        <v>23</v>
      </c>
      <c r="B26" t="inlineStr">
        <is>
          <t>ООО «Василёк»</t>
        </is>
      </c>
      <c r="C26" t="inlineStr">
        <is>
          <t>Аренда</t>
        </is>
      </c>
      <c r="D26" t="n">
        <v>127500</v>
      </c>
      <c r="E26" t="inlineStr"/>
    </row>
    <row r="27">
      <c r="A27" t="n">
        <v>24</v>
      </c>
      <c r="B27" t="inlineStr">
        <is>
          <t>АО «Одуванчик»</t>
        </is>
      </c>
      <c r="C27" t="inlineStr">
        <is>
          <t>Консультации</t>
        </is>
      </c>
      <c r="D27" t="n">
        <v>128750</v>
      </c>
      <c r="E27" t="inlineStr">
        <is>
          <t>на подписании</t>
        </is>
      </c>
    </row>
    <row r="28">
      <c r="A28" t="n">
        <v>25</v>
      </c>
      <c r="B28" t="inlineStr">
        <is>
          <t>ООО «Клевер»</t>
        </is>
      </c>
      <c r="C28" t="inlineStr">
        <is>
          <t>Подряд</t>
        </is>
      </c>
      <c r="D28" t="n">
        <v>130000</v>
      </c>
      <c r="E28" t="inlineStr">
        <is>
          <t>закрыт</t>
        </is>
      </c>
    </row>
    <row r="29">
      <c r="A29" t="n">
        <v>26</v>
      </c>
      <c r="B29" t="inlineStr">
        <is>
          <t>ООО «Ромашка»</t>
        </is>
      </c>
      <c r="C29" t="inlineStr">
        <is>
          <t>Сопровождение</t>
        </is>
      </c>
      <c r="D29" t="n">
        <v>131250</v>
      </c>
      <c r="E29" t="inlineStr">
        <is>
          <t>действует</t>
        </is>
      </c>
    </row>
    <row r="30">
      <c r="A30" t="n">
        <v>27</v>
      </c>
      <c r="B30" t="inlineStr">
        <is>
          <t>ИП Иванов И. И.</t>
        </is>
      </c>
      <c r="C30" t="inlineStr">
        <is>
          <t>Поставка</t>
        </is>
      </c>
      <c r="D30" t="n">
        <v>132500</v>
      </c>
      <c r="E30" t="inlineStr">
        <is>
          <t>продлён</t>
        </is>
      </c>
    </row>
    <row r="31">
      <c r="A31" t="n">
        <v>28</v>
      </c>
      <c r="B31" t="inlineStr">
        <is>
          <t>ООО «Василёк»</t>
        </is>
      </c>
      <c r="C31" t="inlineStr">
        <is>
          <t>Аренда</t>
        </is>
      </c>
      <c r="E31" t="inlineStr"/>
    </row>
    <row r="32">
      <c r="A32" t="n">
        <v>29</v>
      </c>
      <c r="B32" t="inlineStr">
        <is>
          <t>АО «Одуванчик»</t>
        </is>
      </c>
      <c r="C32" t="inlineStr">
        <is>
          <t>Консультации</t>
        </is>
      </c>
      <c r="D32" t="n">
        <v>135000</v>
      </c>
      <c r="E32" t="inlineStr">
        <is>
          <t>на подписании</t>
        </is>
      </c>
    </row>
    <row r="33">
      <c r="A33" t="n">
        <v>30</v>
      </c>
      <c r="B33" t="inlineStr">
        <is>
          <t>ООО «Клевер»</t>
        </is>
      </c>
      <c r="C33" t="inlineStr">
        <is>
          <t>Подряд</t>
        </is>
      </c>
      <c r="D33" t="n">
        <v>136250</v>
      </c>
      <c r="E33" t="inlineStr">
        <is>
          <t>закрыт</t>
        </is>
      </c>
    </row>
    <row r="34">
      <c r="A34" t="n">
        <v>31</v>
      </c>
      <c r="B34" t="inlineStr">
        <is>
          <t>ООО «Ромашка»</t>
        </is>
      </c>
      <c r="C34" t="inlineStr">
        <is>
          <t>Сопровождение</t>
        </is>
      </c>
      <c r="D34" t="n">
        <v>137500</v>
      </c>
      <c r="E34" t="inlineStr">
        <is>
          <t>действует</t>
        </is>
      </c>
    </row>
    <row r="35">
      <c r="A35" t="n">
        <v>32</v>
      </c>
      <c r="B35" t="inlineStr">
        <is>
          <t>ИП Иванов И. И.</t>
        </is>
      </c>
      <c r="C35" t="inlineStr">
        <is>
          <t>Поставка</t>
        </is>
      </c>
      <c r="D35" t="n">
        <v>138750</v>
      </c>
      <c r="E35" t="inlineStr">
        <is>
          <t>продлён</t>
        </is>
      </c>
    </row>
    <row r="36">
      <c r="A36" t="n">
        <v>33</v>
      </c>
      <c r="B36" t="inlineStr">
        <is>
          <t>ООО «Василёк»</t>
        </is>
      </c>
      <c r="C36" t="inlineStr">
        <is>
          <t>Аренда</t>
        </is>
      </c>
      <c r="D36" t="n">
        <v>140000</v>
      </c>
      <c r="E36" t="inlineStr"/>
    </row>
    <row r="37">
      <c r="A37" t="n">
        <v>34</v>
      </c>
      <c r="B37" t="inlineStr">
        <is>
          <t>АО «Одуванчик»</t>
        </is>
      </c>
      <c r="C37" t="inlineStr">
        <is>
          <t>Консультации</t>
        </is>
      </c>
      <c r="D37" t="n">
        <v>141250</v>
      </c>
      <c r="E37" t="inlineStr">
        <is>
          <t>на подписании</t>
        </is>
      </c>
    </row>
    <row r="38">
      <c r="A38" t="n">
        <v>35</v>
      </c>
      <c r="B38" t="inlineStr">
        <is>
          <t>ООО «Клевер»</t>
        </is>
      </c>
      <c r="C38" t="inlineStr">
        <is>
          <t>Подряд</t>
        </is>
      </c>
      <c r="E38" t="inlineStr">
        <is>
          <t>закрыт</t>
        </is>
      </c>
    </row>
    <row r="39">
      <c r="A39" t="n">
        <v>36</v>
      </c>
      <c r="B39" t="inlineStr">
        <is>
          <t>ООО «Ромашка»</t>
        </is>
      </c>
      <c r="C39" t="inlineStr">
        <is>
          <t>Сопровождение</t>
        </is>
      </c>
      <c r="D39" t="n">
        <v>143750</v>
      </c>
      <c r="E39" t="inlineStr">
        <is>
          <t>действует</t>
        </is>
      </c>
    </row>
    <row r="40">
      <c r="A40" t="n">
        <v>37</v>
      </c>
      <c r="B40" t="inlineStr">
        <is>
          <t>ИП Иванов И. И.</t>
        </is>
      </c>
      <c r="C40" t="inlineStr">
        <is>
          <t>Поставка</t>
        </is>
      </c>
      <c r="D40" t="n">
        <v>145000</v>
      </c>
      <c r="E40" t="inlineStr">
        <is>
          <t>продлён</t>
        </is>
      </c>
    </row>
    <row r="41">
      <c r="A41" t="n">
        <v>38</v>
      </c>
      <c r="B41" t="inlineStr">
        <is>
          <t>ООО «Василёк»</t>
        </is>
      </c>
      <c r="C41" t="inlineStr">
        <is>
          <t>Аренда</t>
        </is>
      </c>
      <c r="D41" t="n">
        <v>146250</v>
      </c>
      <c r="E41" t="inlineStr"/>
    </row>
    <row r="42">
      <c r="A42" t="n">
        <v>39</v>
      </c>
      <c r="B42" t="inlineStr">
        <is>
          <t>АО «Одуванчик»</t>
        </is>
      </c>
      <c r="C42" t="inlineStr">
        <is>
          <t>Консультации</t>
        </is>
      </c>
      <c r="D42" t="n">
        <v>147500</v>
      </c>
      <c r="E42" t="inlineStr">
        <is>
          <t>на подписании</t>
        </is>
      </c>
    </row>
    <row r="43">
      <c r="A43" t="n">
        <v>40</v>
      </c>
      <c r="B43" t="inlineStr">
        <is>
          <t>ООО «Клевер»</t>
        </is>
      </c>
      <c r="C43" t="inlineStr">
        <is>
          <t>Подряд</t>
        </is>
      </c>
      <c r="D43" t="n">
        <v>148750</v>
      </c>
      <c r="E43" t="inlineStr">
        <is>
          <t>закрыт</t>
        </is>
      </c>
    </row>
    <row r="45">
      <c r="B45" t="inlineStr">
        <is>
          <t>Итого</t>
        </is>
      </c>
      <c r="D45">
        <f>SUM(D4:D43)</f>
        <v/>
      </c>
    </row>
  </sheetData>
  <mergeCells count="2">
    <mergeCell ref="A1:E1"/>
    <mergeCell ref="B45:C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Показатель</t>
        </is>
      </c>
      <c r="B1" t="inlineStr">
        <is>
          <t>Значение</t>
        </is>
      </c>
    </row>
    <row r="2">
      <c r="A2" t="inlineStr">
        <is>
          <t>Ставка НДС</t>
        </is>
      </c>
      <c r="B2" t="n">
        <v>0.2</v>
      </c>
    </row>
    <row r="3">
      <c r="A3" t="inlineStr">
        <is>
          <t>Сумма без НДС</t>
        </is>
      </c>
      <c r="B3" t="n">
        <v>250000</v>
      </c>
    </row>
    <row r="4">
      <c r="A4" t="inlineStr">
        <is>
          <t>НДС</t>
        </is>
      </c>
      <c r="B4">
        <f>B3*B2</f>
        <v/>
      </c>
    </row>
    <row r="5">
      <c r="A5" t="inlineStr">
        <is>
          <t>Итого с НДС</t>
        </is>
      </c>
      <c r="B5">
        <f>B3+B4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Лист оставлен почти пустым намеренно.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2026-08-03T11:17:13Z</dcterms:created>
  <dcterms:modified xmlns:dcterms="http://purl.org/dc/terms/" xmlns:xsi="http://www.w3.org/2001/XMLSchema-instance" xsi:type="dcterms:W3CDTF">2026-08-03T11:17:13Z</dcterms:modified>
</cp:coreProperties>
</file>