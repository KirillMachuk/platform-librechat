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договоров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Чернов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2" customWidth="1" min="4" max="4"/>
    <col width="12" customWidth="1" min="5" max="5"/>
    <col width="16" customWidth="1" min="6" max="6"/>
    <col width="14" customWidth="1" min="7" max="7"/>
    <col width="18" customWidth="1" min="8" max="8"/>
  </cols>
  <sheetData>
    <row r="1">
      <c r="A1" s="1" t="inlineStr">
        <is>
          <t>Реестр действующих договоров ООО «Ромашка» на 2024 год</t>
        </is>
      </c>
    </row>
    <row r="3">
      <c r="A3" s="2" t="inlineStr">
        <is>
          <t>№</t>
        </is>
      </c>
      <c r="B3" s="2" t="inlineStr">
        <is>
          <t>Контрагент</t>
        </is>
      </c>
      <c r="C3" s="2" t="inlineStr">
        <is>
          <t>Предмет договора</t>
        </is>
      </c>
      <c r="D3" s="2" t="inlineStr">
        <is>
          <t>Сроки</t>
        </is>
      </c>
      <c r="E3" s="2" t="n"/>
      <c r="F3" s="2" t="inlineStr">
        <is>
          <t>Суммы, BYN</t>
        </is>
      </c>
      <c r="G3" s="2" t="n"/>
      <c r="H3" s="2" t="inlineStr">
        <is>
          <t>Статус</t>
        </is>
      </c>
    </row>
    <row r="4">
      <c r="A4" s="2" t="n"/>
      <c r="B4" s="2" t="n"/>
      <c r="C4" s="2" t="n"/>
      <c r="D4" s="2" t="inlineStr">
        <is>
          <t>Начало</t>
        </is>
      </c>
      <c r="E4" s="2" t="inlineStr">
        <is>
          <t>Окончание</t>
        </is>
      </c>
      <c r="F4" s="2" t="inlineStr">
        <is>
          <t>Сумма договора</t>
        </is>
      </c>
      <c r="G4" s="2" t="inlineStr">
        <is>
          <t>Оплачено</t>
        </is>
      </c>
      <c r="H4" s="2" t="n"/>
    </row>
    <row r="5">
      <c r="A5" t="n">
        <v>1</v>
      </c>
      <c r="B5" t="inlineStr">
        <is>
          <t>ООО «Ромашка»</t>
        </is>
      </c>
      <c r="C5" t="inlineStr">
        <is>
          <t>Оказание услуг</t>
        </is>
      </c>
      <c r="D5" t="inlineStr">
        <is>
          <t>01.01.2024</t>
        </is>
      </c>
      <c r="F5" t="n">
        <v>4800</v>
      </c>
    </row>
    <row r="6">
      <c r="A6" t="n">
        <v>2</v>
      </c>
      <c r="B6" t="inlineStr">
        <is>
          <t>ИП Иванов И. И.</t>
        </is>
      </c>
      <c r="C6" t="inlineStr">
        <is>
          <t>Поставка оборудования</t>
        </is>
      </c>
      <c r="D6" t="inlineStr">
        <is>
          <t>02.02.2024</t>
        </is>
      </c>
      <c r="E6" t="inlineStr">
        <is>
          <t>04.12.2024</t>
        </is>
      </c>
      <c r="F6" t="n">
        <v>6145</v>
      </c>
      <c r="G6" t="n">
        <v>3072.5</v>
      </c>
      <c r="H6" t="inlineStr">
        <is>
          <t>На согласовании</t>
        </is>
      </c>
    </row>
    <row r="7">
      <c r="A7" t="n">
        <v>3</v>
      </c>
      <c r="B7" t="inlineStr">
        <is>
          <t>ООО «Василёк»</t>
        </is>
      </c>
      <c r="C7" t="inlineStr">
        <is>
          <t>Техническое обслуживание</t>
        </is>
      </c>
      <c r="D7" t="inlineStr">
        <is>
          <t>03.03.2024</t>
        </is>
      </c>
      <c r="E7" t="inlineStr">
        <is>
          <t>07.12.2024</t>
        </is>
      </c>
      <c r="F7" t="n">
        <v>7490</v>
      </c>
      <c r="G7" t="n">
        <v>5617.5</v>
      </c>
      <c r="H7" t="inlineStr">
        <is>
          <t>Завершён</t>
        </is>
      </c>
    </row>
    <row r="8">
      <c r="A8" t="n">
        <v>4</v>
      </c>
      <c r="B8" t="inlineStr">
        <is>
          <t>ЗАО «Тестовый Мост»</t>
        </is>
      </c>
      <c r="C8" t="inlineStr">
        <is>
          <t>Аренда помещения</t>
        </is>
      </c>
      <c r="D8" t="inlineStr">
        <is>
          <t>04.04.2024</t>
        </is>
      </c>
      <c r="E8" t="inlineStr">
        <is>
          <t>10.12.2024</t>
        </is>
      </c>
      <c r="F8" t="n">
        <v>8835</v>
      </c>
      <c r="G8" t="n">
        <v>8835</v>
      </c>
      <c r="H8" t="inlineStr">
        <is>
          <t>Продлён</t>
        </is>
      </c>
    </row>
    <row r="9">
      <c r="A9" t="n">
        <v>5</v>
      </c>
      <c r="B9" t="inlineStr">
        <is>
          <t>ООО «ТехноСфера-Плюс»</t>
        </is>
      </c>
      <c r="C9" t="inlineStr">
        <is>
          <t>Консультационные услуги</t>
        </is>
      </c>
      <c r="D9" t="inlineStr">
        <is>
          <t>05.05.2024</t>
        </is>
      </c>
      <c r="E9" t="inlineStr">
        <is>
          <t>13.12.2024</t>
        </is>
      </c>
      <c r="F9" t="n">
        <v>10180</v>
      </c>
      <c r="G9" t="n">
        <v>2545</v>
      </c>
      <c r="H9" t="inlineStr">
        <is>
          <t>Расторгнут</t>
        </is>
      </c>
    </row>
    <row r="10">
      <c r="A10" t="n">
        <v>6</v>
      </c>
      <c r="B10" t="inlineStr">
        <is>
          <t>ОДО «Северный Ветер»</t>
        </is>
      </c>
      <c r="C10" t="inlineStr">
        <is>
          <t>Подряд на монтаж</t>
        </is>
      </c>
      <c r="D10" t="inlineStr">
        <is>
          <t>06.06.2024</t>
        </is>
      </c>
      <c r="F10" t="n">
        <v>11525</v>
      </c>
      <c r="G10" t="n">
        <v>5762.5</v>
      </c>
      <c r="H10" t="inlineStr">
        <is>
          <t>Действует</t>
        </is>
      </c>
    </row>
    <row r="11">
      <c r="A11" t="n">
        <v>7</v>
      </c>
      <c r="B11" t="inlineStr">
        <is>
          <t>ООО «Гранит-Строй»</t>
        </is>
      </c>
      <c r="C11" t="inlineStr">
        <is>
          <t>Оказание услуг</t>
        </is>
      </c>
      <c r="D11" t="inlineStr">
        <is>
          <t>07.07.2024</t>
        </is>
      </c>
      <c r="E11" t="inlineStr">
        <is>
          <t>19.12.2024</t>
        </is>
      </c>
      <c r="F11" t="n">
        <v>12870</v>
      </c>
      <c r="G11" t="n">
        <v>9652.5</v>
      </c>
      <c r="H11" t="inlineStr">
        <is>
          <t>На согласовании</t>
        </is>
      </c>
    </row>
    <row r="12">
      <c r="A12" t="n">
        <v>8</v>
      </c>
      <c r="B12" t="inlineStr">
        <is>
          <t>ООО «Ромашка»</t>
        </is>
      </c>
      <c r="C12" t="inlineStr">
        <is>
          <t>Поставка оборудования</t>
        </is>
      </c>
      <c r="D12" t="inlineStr">
        <is>
          <t>08.08.2024</t>
        </is>
      </c>
      <c r="E12" t="inlineStr">
        <is>
          <t>22.12.2024</t>
        </is>
      </c>
      <c r="F12" t="n">
        <v>12710</v>
      </c>
      <c r="G12" t="n">
        <v>12710</v>
      </c>
    </row>
    <row r="13">
      <c r="A13" t="n">
        <v>9</v>
      </c>
      <c r="B13" t="inlineStr">
        <is>
          <t>ИП Иванов И. И.</t>
        </is>
      </c>
      <c r="C13" t="inlineStr">
        <is>
          <t>Техническое обслуживание</t>
        </is>
      </c>
      <c r="D13" t="inlineStr">
        <is>
          <t>09.09.2024</t>
        </is>
      </c>
      <c r="E13" t="inlineStr">
        <is>
          <t>25.12.2024</t>
        </is>
      </c>
      <c r="F13" t="n">
        <v>14055</v>
      </c>
      <c r="G13" t="n">
        <v>3513.75</v>
      </c>
      <c r="H13" t="inlineStr">
        <is>
          <t>Продлён</t>
        </is>
      </c>
    </row>
    <row r="14">
      <c r="A14" t="n">
        <v>10</v>
      </c>
      <c r="B14" t="inlineStr">
        <is>
          <t>ООО «Василёк»</t>
        </is>
      </c>
      <c r="C14" t="inlineStr">
        <is>
          <t>Аренда помещения</t>
        </is>
      </c>
      <c r="D14" t="inlineStr">
        <is>
          <t>10.01.2024</t>
        </is>
      </c>
      <c r="E14" t="inlineStr">
        <is>
          <t>28.12.2024</t>
        </is>
      </c>
      <c r="F14" t="n">
        <v>15400</v>
      </c>
      <c r="G14" t="n">
        <v>7700</v>
      </c>
      <c r="H14" t="inlineStr">
        <is>
          <t>Расторгнут</t>
        </is>
      </c>
    </row>
    <row r="15">
      <c r="A15" t="n">
        <v>11</v>
      </c>
      <c r="B15" t="inlineStr">
        <is>
          <t>ЗАО «Тестовый Мост»</t>
        </is>
      </c>
      <c r="C15" t="inlineStr">
        <is>
          <t>Консультационные услуги</t>
        </is>
      </c>
      <c r="D15" t="inlineStr">
        <is>
          <t>11.02.2024</t>
        </is>
      </c>
      <c r="F15" t="n">
        <v>16745</v>
      </c>
      <c r="G15" t="n">
        <v>12558.75</v>
      </c>
      <c r="H15" t="inlineStr">
        <is>
          <t>Действует</t>
        </is>
      </c>
    </row>
    <row r="16">
      <c r="A16" t="n">
        <v>12</v>
      </c>
      <c r="B16" t="inlineStr">
        <is>
          <t>ООО «ТехноСфера-Плюс»</t>
        </is>
      </c>
      <c r="C16" t="inlineStr">
        <is>
          <t>Подряд на монтаж</t>
        </is>
      </c>
      <c r="D16" t="inlineStr">
        <is>
          <t>12.03.2024</t>
        </is>
      </c>
      <c r="E16" t="inlineStr">
        <is>
          <t>06.12.2024</t>
        </is>
      </c>
      <c r="F16" t="n">
        <v>18090</v>
      </c>
      <c r="H16" t="inlineStr">
        <is>
          <t>На согласовании</t>
        </is>
      </c>
    </row>
    <row r="17">
      <c r="A17" t="n">
        <v>13</v>
      </c>
      <c r="B17" t="inlineStr">
        <is>
          <t>ОДО «Северный Ветер»</t>
        </is>
      </c>
      <c r="C17" t="inlineStr">
        <is>
          <t>Оказание услуг</t>
        </is>
      </c>
      <c r="D17" t="inlineStr">
        <is>
          <t>13.04.2024</t>
        </is>
      </c>
      <c r="E17" t="inlineStr">
        <is>
          <t>09.12.2024</t>
        </is>
      </c>
      <c r="F17" t="n">
        <v>19435</v>
      </c>
      <c r="G17" t="n">
        <v>4858.75</v>
      </c>
      <c r="H17" t="inlineStr">
        <is>
          <t>Завершён</t>
        </is>
      </c>
    </row>
    <row r="18">
      <c r="A18" t="n">
        <v>14</v>
      </c>
      <c r="B18" t="inlineStr">
        <is>
          <t>ООО «Гранит-Строй»</t>
        </is>
      </c>
      <c r="C18" t="inlineStr">
        <is>
          <t>Поставка оборудования</t>
        </is>
      </c>
      <c r="D18" t="inlineStr">
        <is>
          <t>14.05.2024</t>
        </is>
      </c>
      <c r="E18" t="inlineStr">
        <is>
          <t>12.12.2024</t>
        </is>
      </c>
      <c r="F18" t="n">
        <v>20780</v>
      </c>
      <c r="G18" t="n">
        <v>10390</v>
      </c>
      <c r="H18" t="inlineStr">
        <is>
          <t>Продлён</t>
        </is>
      </c>
    </row>
    <row r="19">
      <c r="A19" t="n">
        <v>15</v>
      </c>
      <c r="B19" t="inlineStr">
        <is>
          <t>ООО «Ромашка»</t>
        </is>
      </c>
      <c r="C19" t="inlineStr">
        <is>
          <t>Техническое обслуживание</t>
        </is>
      </c>
      <c r="D19" t="inlineStr">
        <is>
          <t>15.06.2024</t>
        </is>
      </c>
      <c r="E19" t="inlineStr">
        <is>
          <t>15.12.2024</t>
        </is>
      </c>
      <c r="F19" t="n">
        <v>20620</v>
      </c>
      <c r="G19" t="n">
        <v>15465</v>
      </c>
    </row>
    <row r="20">
      <c r="A20" t="n">
        <v>16</v>
      </c>
      <c r="B20" t="inlineStr">
        <is>
          <t>ИП Иванов И. И.</t>
        </is>
      </c>
      <c r="C20" t="inlineStr">
        <is>
          <t>Аренда помещения</t>
        </is>
      </c>
      <c r="D20" t="inlineStr">
        <is>
          <t>16.07.2024</t>
        </is>
      </c>
      <c r="F20" t="n">
        <v>21965</v>
      </c>
      <c r="G20" t="n">
        <v>21965</v>
      </c>
      <c r="H20" t="inlineStr">
        <is>
          <t>Действует</t>
        </is>
      </c>
    </row>
    <row r="21">
      <c r="A21" t="n">
        <v>17</v>
      </c>
      <c r="B21" t="inlineStr">
        <is>
          <t>ООО «Василёк»</t>
        </is>
      </c>
      <c r="C21" t="inlineStr">
        <is>
          <t>Консультационные услуги</t>
        </is>
      </c>
      <c r="D21" t="inlineStr">
        <is>
          <t>17.08.2024</t>
        </is>
      </c>
      <c r="E21" t="inlineStr">
        <is>
          <t>21.12.2024</t>
        </is>
      </c>
      <c r="F21" t="n">
        <v>23310</v>
      </c>
      <c r="G21" t="n">
        <v>5827.5</v>
      </c>
      <c r="H21" t="inlineStr">
        <is>
          <t>На согласовании</t>
        </is>
      </c>
    </row>
    <row r="22">
      <c r="A22" t="n">
        <v>18</v>
      </c>
      <c r="B22" t="inlineStr">
        <is>
          <t>ЗАО «Тестовый Мост»</t>
        </is>
      </c>
      <c r="C22" t="inlineStr">
        <is>
          <t>Подряд на монтаж</t>
        </is>
      </c>
      <c r="D22" t="inlineStr">
        <is>
          <t>18.09.2024</t>
        </is>
      </c>
      <c r="E22" t="inlineStr">
        <is>
          <t>24.12.2024</t>
        </is>
      </c>
      <c r="F22" t="n">
        <v>24655</v>
      </c>
      <c r="G22" t="n">
        <v>12327.5</v>
      </c>
      <c r="H22" t="inlineStr">
        <is>
          <t>Завершён</t>
        </is>
      </c>
    </row>
    <row r="23">
      <c r="A23" t="n">
        <v>19</v>
      </c>
      <c r="B23" t="inlineStr">
        <is>
          <t>ООО «ТехноСфера-Плюс»</t>
        </is>
      </c>
      <c r="C23" t="inlineStr">
        <is>
          <t>Оказание услуг</t>
        </is>
      </c>
      <c r="D23" t="inlineStr">
        <is>
          <t>19.01.2024</t>
        </is>
      </c>
      <c r="E23" t="inlineStr">
        <is>
          <t>27.12.2024</t>
        </is>
      </c>
      <c r="F23" t="n">
        <v>26000</v>
      </c>
      <c r="G23" t="n">
        <v>19500</v>
      </c>
      <c r="H23" t="inlineStr">
        <is>
          <t>Продлён</t>
        </is>
      </c>
    </row>
    <row r="24">
      <c r="A24" t="n">
        <v>20</v>
      </c>
      <c r="B24" t="inlineStr">
        <is>
          <t>ОДО «Северный Ветер»</t>
        </is>
      </c>
      <c r="C24" t="inlineStr">
        <is>
          <t>Поставка оборудования</t>
        </is>
      </c>
      <c r="D24" t="inlineStr">
        <is>
          <t>20.02.2024</t>
        </is>
      </c>
      <c r="E24" t="inlineStr">
        <is>
          <t>02.12.2024</t>
        </is>
      </c>
      <c r="F24" t="n">
        <v>27345</v>
      </c>
      <c r="G24" t="n">
        <v>27345</v>
      </c>
      <c r="H24" t="inlineStr">
        <is>
          <t>Расторгнут</t>
        </is>
      </c>
    </row>
    <row r="25">
      <c r="A25" t="n">
        <v>21</v>
      </c>
      <c r="B25" t="inlineStr">
        <is>
          <t>ООО «Гранит-Строй»</t>
        </is>
      </c>
      <c r="C25" t="inlineStr">
        <is>
          <t>Техническое обслуживание</t>
        </is>
      </c>
      <c r="D25" t="inlineStr">
        <is>
          <t>21.03.2024</t>
        </is>
      </c>
      <c r="F25" t="n">
        <v>28690</v>
      </c>
      <c r="G25" t="n">
        <v>7172.5</v>
      </c>
      <c r="H25" t="inlineStr">
        <is>
          <t>Действует</t>
        </is>
      </c>
    </row>
    <row r="26">
      <c r="A26" t="n">
        <v>22</v>
      </c>
      <c r="B26" t="inlineStr">
        <is>
          <t>ООО «Ромашка»</t>
        </is>
      </c>
      <c r="C26" t="inlineStr">
        <is>
          <t>Аренда помещения</t>
        </is>
      </c>
      <c r="D26" t="inlineStr">
        <is>
          <t>22.04.2024</t>
        </is>
      </c>
      <c r="E26" t="inlineStr">
        <is>
          <t>08.12.2024</t>
        </is>
      </c>
      <c r="F26" t="n">
        <v>28530</v>
      </c>
      <c r="G26" t="n">
        <v>14265</v>
      </c>
    </row>
    <row r="27">
      <c r="A27" t="n">
        <v>23</v>
      </c>
      <c r="B27" t="inlineStr">
        <is>
          <t>ИП Иванов И. И.</t>
        </is>
      </c>
      <c r="C27" t="inlineStr">
        <is>
          <t>Консультационные услуги</t>
        </is>
      </c>
      <c r="D27" t="inlineStr">
        <is>
          <t>23.05.2024</t>
        </is>
      </c>
      <c r="E27" t="inlineStr">
        <is>
          <t>11.12.2024</t>
        </is>
      </c>
      <c r="F27" t="n">
        <v>29875</v>
      </c>
      <c r="H27" t="inlineStr">
        <is>
          <t>Завершён</t>
        </is>
      </c>
    </row>
    <row r="28">
      <c r="A28" t="n">
        <v>24</v>
      </c>
      <c r="B28" t="inlineStr">
        <is>
          <t>ООО «Василёк»</t>
        </is>
      </c>
      <c r="C28" t="inlineStr">
        <is>
          <t>Подряд на монтаж</t>
        </is>
      </c>
      <c r="D28" t="inlineStr">
        <is>
          <t>24.06.2024</t>
        </is>
      </c>
      <c r="E28" t="inlineStr">
        <is>
          <t>14.12.2024</t>
        </is>
      </c>
      <c r="F28" t="n">
        <v>31220</v>
      </c>
      <c r="G28" t="n">
        <v>31220</v>
      </c>
      <c r="H28" t="inlineStr">
        <is>
          <t>Продлён</t>
        </is>
      </c>
    </row>
    <row r="29">
      <c r="A29" t="n">
        <v>25</v>
      </c>
      <c r="B29" t="inlineStr">
        <is>
          <t>ЗАО «Тестовый Мост»</t>
        </is>
      </c>
      <c r="C29" t="inlineStr">
        <is>
          <t>Оказание услуг</t>
        </is>
      </c>
      <c r="D29" t="inlineStr">
        <is>
          <t>25.07.2024</t>
        </is>
      </c>
      <c r="E29" t="inlineStr">
        <is>
          <t>17.12.2024</t>
        </is>
      </c>
      <c r="F29" t="n">
        <v>32565</v>
      </c>
      <c r="G29" t="n">
        <v>8141.25</v>
      </c>
      <c r="H29" t="inlineStr">
        <is>
          <t>Расторгнут</t>
        </is>
      </c>
    </row>
    <row r="30">
      <c r="A30" t="n">
        <v>26</v>
      </c>
      <c r="B30" t="inlineStr">
        <is>
          <t>ООО «ТехноСфера-Плюс»</t>
        </is>
      </c>
      <c r="C30" t="inlineStr">
        <is>
          <t>Поставка оборудования</t>
        </is>
      </c>
      <c r="D30" t="inlineStr">
        <is>
          <t>26.08.2024</t>
        </is>
      </c>
      <c r="F30" t="n">
        <v>33910</v>
      </c>
      <c r="G30" t="n">
        <v>16955</v>
      </c>
      <c r="H30" t="inlineStr">
        <is>
          <t>Действует</t>
        </is>
      </c>
    </row>
    <row r="31">
      <c r="A31" t="n">
        <v>27</v>
      </c>
      <c r="B31" t="inlineStr">
        <is>
          <t>ОДО «Северный Ветер»</t>
        </is>
      </c>
      <c r="C31" t="inlineStr">
        <is>
          <t>Техническое обслуживание</t>
        </is>
      </c>
      <c r="D31" t="inlineStr">
        <is>
          <t>27.09.2024</t>
        </is>
      </c>
      <c r="E31" t="inlineStr">
        <is>
          <t>23.12.2024</t>
        </is>
      </c>
      <c r="F31" t="n">
        <v>35255</v>
      </c>
      <c r="G31" t="n">
        <v>26441.25</v>
      </c>
      <c r="H31" t="inlineStr">
        <is>
          <t>На согласовании</t>
        </is>
      </c>
    </row>
    <row r="32">
      <c r="A32" t="n">
        <v>28</v>
      </c>
      <c r="B32" t="inlineStr">
        <is>
          <t>ООО «Гранит-Строй»</t>
        </is>
      </c>
      <c r="C32" t="inlineStr">
        <is>
          <t>Аренда помещения</t>
        </is>
      </c>
      <c r="D32" t="inlineStr">
        <is>
          <t>28.01.2024</t>
        </is>
      </c>
      <c r="E32" t="inlineStr">
        <is>
          <t>26.12.2024</t>
        </is>
      </c>
      <c r="F32" t="n">
        <v>36600</v>
      </c>
      <c r="G32" t="n">
        <v>36600</v>
      </c>
      <c r="H32" t="inlineStr">
        <is>
          <t>Завершён</t>
        </is>
      </c>
    </row>
    <row r="33">
      <c r="A33" t="n">
        <v>29</v>
      </c>
      <c r="B33" t="inlineStr">
        <is>
          <t>ООО «Ромашка»</t>
        </is>
      </c>
      <c r="C33" t="inlineStr">
        <is>
          <t>Консультационные услуги</t>
        </is>
      </c>
      <c r="D33" t="inlineStr">
        <is>
          <t>01.02.2024</t>
        </is>
      </c>
      <c r="E33" t="inlineStr">
        <is>
          <t>01.12.2024</t>
        </is>
      </c>
      <c r="F33" t="n">
        <v>36440</v>
      </c>
      <c r="G33" t="n">
        <v>9110</v>
      </c>
    </row>
    <row r="34">
      <c r="A34" t="n">
        <v>30</v>
      </c>
      <c r="B34" t="inlineStr">
        <is>
          <t>ИП Иванов И. И.</t>
        </is>
      </c>
      <c r="C34" t="inlineStr">
        <is>
          <t>Подряд на монтаж</t>
        </is>
      </c>
      <c r="D34" t="inlineStr">
        <is>
          <t>02.03.2024</t>
        </is>
      </c>
      <c r="E34" t="inlineStr">
        <is>
          <t>04.12.2024</t>
        </is>
      </c>
      <c r="F34" t="n">
        <v>37785</v>
      </c>
      <c r="G34" t="n">
        <v>18892.5</v>
      </c>
      <c r="H34" t="inlineStr">
        <is>
          <t>Расторгнут</t>
        </is>
      </c>
    </row>
    <row r="35">
      <c r="A35" t="n">
        <v>31</v>
      </c>
      <c r="B35" t="inlineStr">
        <is>
          <t>ООО «Василёк»</t>
        </is>
      </c>
      <c r="C35" t="inlineStr">
        <is>
          <t>Оказание услуг</t>
        </is>
      </c>
      <c r="D35" t="inlineStr">
        <is>
          <t>03.04.2024</t>
        </is>
      </c>
      <c r="F35" t="n">
        <v>39130</v>
      </c>
      <c r="G35" t="n">
        <v>29347.5</v>
      </c>
      <c r="H35" t="inlineStr">
        <is>
          <t>Действует</t>
        </is>
      </c>
    </row>
    <row r="36">
      <c r="A36" t="n">
        <v>32</v>
      </c>
      <c r="B36" t="inlineStr">
        <is>
          <t>ЗАО «Тестовый Мост»</t>
        </is>
      </c>
      <c r="C36" t="inlineStr">
        <is>
          <t>Поставка оборудования</t>
        </is>
      </c>
      <c r="D36" t="inlineStr">
        <is>
          <t>04.05.2024</t>
        </is>
      </c>
      <c r="E36" t="inlineStr">
        <is>
          <t>10.12.2024</t>
        </is>
      </c>
      <c r="F36" t="n">
        <v>40475</v>
      </c>
      <c r="G36" t="n">
        <v>40475</v>
      </c>
      <c r="H36" t="inlineStr">
        <is>
          <t>На согласовании</t>
        </is>
      </c>
    </row>
    <row r="37">
      <c r="A37" t="n">
        <v>33</v>
      </c>
      <c r="B37" t="inlineStr">
        <is>
          <t>ООО «ТехноСфера-Плюс»</t>
        </is>
      </c>
      <c r="C37" t="inlineStr">
        <is>
          <t>Техническое обслуживание</t>
        </is>
      </c>
      <c r="D37" t="inlineStr">
        <is>
          <t>05.06.2024</t>
        </is>
      </c>
      <c r="E37" t="inlineStr">
        <is>
          <t>13.12.2024</t>
        </is>
      </c>
      <c r="F37" t="n">
        <v>41820</v>
      </c>
      <c r="G37" t="n">
        <v>10455</v>
      </c>
      <c r="H37" t="inlineStr">
        <is>
          <t>Завершён</t>
        </is>
      </c>
    </row>
    <row r="38">
      <c r="A38" t="n">
        <v>34</v>
      </c>
      <c r="B38" t="inlineStr">
        <is>
          <t>ОДО «Северный Ветер»</t>
        </is>
      </c>
      <c r="C38" t="inlineStr">
        <is>
          <t>Аренда помещения</t>
        </is>
      </c>
      <c r="D38" t="inlineStr">
        <is>
          <t>06.07.2024</t>
        </is>
      </c>
      <c r="E38" t="inlineStr">
        <is>
          <t>16.12.2024</t>
        </is>
      </c>
      <c r="F38" t="n">
        <v>43165</v>
      </c>
      <c r="H38" t="inlineStr">
        <is>
          <t>Продлён</t>
        </is>
      </c>
    </row>
    <row r="39">
      <c r="A39" t="n">
        <v>35</v>
      </c>
      <c r="B39" t="inlineStr">
        <is>
          <t>ООО «Гранит-Строй»</t>
        </is>
      </c>
      <c r="C39" t="inlineStr">
        <is>
          <t>Консультационные услуги</t>
        </is>
      </c>
      <c r="D39" t="inlineStr">
        <is>
          <t>07.08.2024</t>
        </is>
      </c>
      <c r="E39" t="inlineStr">
        <is>
          <t>19.12.2024</t>
        </is>
      </c>
      <c r="F39" t="n">
        <v>44510</v>
      </c>
      <c r="G39" t="n">
        <v>33382.5</v>
      </c>
      <c r="H39" t="inlineStr">
        <is>
          <t>Расторгнут</t>
        </is>
      </c>
    </row>
    <row r="40">
      <c r="A40" t="n">
        <v>36</v>
      </c>
      <c r="B40" t="inlineStr">
        <is>
          <t>ООО «Ромашка»</t>
        </is>
      </c>
      <c r="C40" t="inlineStr">
        <is>
          <t>Подряд на монтаж</t>
        </is>
      </c>
      <c r="D40" t="inlineStr">
        <is>
          <t>08.09.2024</t>
        </is>
      </c>
      <c r="F40" t="n">
        <v>44350</v>
      </c>
      <c r="G40" t="n">
        <v>44350</v>
      </c>
    </row>
    <row r="41">
      <c r="A41" t="n">
        <v>37</v>
      </c>
      <c r="B41" t="inlineStr">
        <is>
          <t>ИП Иванов И. И.</t>
        </is>
      </c>
      <c r="C41" t="inlineStr">
        <is>
          <t>Оказание услуг</t>
        </is>
      </c>
      <c r="D41" t="inlineStr">
        <is>
          <t>09.01.2024</t>
        </is>
      </c>
      <c r="E41" t="inlineStr">
        <is>
          <t>25.12.2024</t>
        </is>
      </c>
      <c r="F41" t="n">
        <v>45695</v>
      </c>
      <c r="G41" t="n">
        <v>11423.75</v>
      </c>
      <c r="H41" t="inlineStr">
        <is>
          <t>На согласовании</t>
        </is>
      </c>
    </row>
    <row r="42">
      <c r="A42" t="n">
        <v>38</v>
      </c>
      <c r="B42" t="inlineStr">
        <is>
          <t>ООО «Василёк»</t>
        </is>
      </c>
      <c r="C42" t="inlineStr">
        <is>
          <t>Поставка оборудования</t>
        </is>
      </c>
      <c r="D42" t="inlineStr">
        <is>
          <t>10.02.2024</t>
        </is>
      </c>
      <c r="E42" t="inlineStr">
        <is>
          <t>28.12.2024</t>
        </is>
      </c>
      <c r="F42" t="n">
        <v>47040</v>
      </c>
      <c r="G42" t="n">
        <v>23520</v>
      </c>
      <c r="H42" t="inlineStr">
        <is>
          <t>Завершён</t>
        </is>
      </c>
    </row>
    <row r="43">
      <c r="A43" t="n">
        <v>39</v>
      </c>
      <c r="B43" t="inlineStr">
        <is>
          <t>ЗАО «Тестовый Мост»</t>
        </is>
      </c>
      <c r="C43" t="inlineStr">
        <is>
          <t>Техническое обслуживание</t>
        </is>
      </c>
      <c r="D43" t="inlineStr">
        <is>
          <t>11.03.2024</t>
        </is>
      </c>
      <c r="E43" t="inlineStr">
        <is>
          <t>03.12.2024</t>
        </is>
      </c>
      <c r="F43" t="n">
        <v>48385</v>
      </c>
      <c r="G43" t="n">
        <v>36288.75</v>
      </c>
      <c r="H43" t="inlineStr">
        <is>
          <t>Продлён</t>
        </is>
      </c>
    </row>
    <row r="44">
      <c r="A44" t="n">
        <v>40</v>
      </c>
      <c r="B44" t="inlineStr">
        <is>
          <t>ООО «ТехноСфера-Плюс»</t>
        </is>
      </c>
      <c r="C44" t="inlineStr">
        <is>
          <t>Аренда помещения</t>
        </is>
      </c>
      <c r="D44" t="inlineStr">
        <is>
          <t>12.04.2024</t>
        </is>
      </c>
      <c r="E44" t="inlineStr">
        <is>
          <t>06.12.2024</t>
        </is>
      </c>
      <c r="F44" t="n">
        <v>49730</v>
      </c>
      <c r="G44" t="n">
        <v>49730</v>
      </c>
      <c r="H44" t="inlineStr">
        <is>
          <t>Расторгнут</t>
        </is>
      </c>
    </row>
    <row r="45">
      <c r="A45" s="3" t="inlineStr">
        <is>
          <t>Итого</t>
        </is>
      </c>
      <c r="F45" s="4" t="n">
        <v>1098125</v>
      </c>
      <c r="G45" s="4" t="n">
        <v>637416.25</v>
      </c>
      <c r="H45" t="inlineStr">
        <is>
          <t>—</t>
        </is>
      </c>
    </row>
  </sheetData>
  <mergeCells count="8">
    <mergeCell ref="F3:G3"/>
    <mergeCell ref="C3:C4"/>
    <mergeCell ref="B3:B4"/>
    <mergeCell ref="A3:A4"/>
    <mergeCell ref="H3:H4"/>
    <mergeCell ref="A45:E45"/>
    <mergeCell ref="A1:H1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5" t="inlineStr">
        <is>
          <t>Сводка по кварталам</t>
        </is>
      </c>
    </row>
    <row r="3">
      <c r="A3" s="4" t="inlineStr">
        <is>
          <t>Квартал</t>
        </is>
      </c>
      <c r="B3" s="4" t="inlineStr">
        <is>
          <t>План, BYN</t>
        </is>
      </c>
      <c r="C3" s="4" t="inlineStr">
        <is>
          <t>Факт, BYN</t>
        </is>
      </c>
      <c r="D3" s="4" t="inlineStr">
        <is>
          <t>Отклонение</t>
        </is>
      </c>
      <c r="E3" s="4" t="inlineStr">
        <is>
          <t>Признак</t>
        </is>
      </c>
    </row>
    <row r="4">
      <c r="A4" t="inlineStr">
        <is>
          <t>1 квартал</t>
        </is>
      </c>
      <c r="B4" t="n">
        <v>60000</v>
      </c>
      <c r="C4" t="n">
        <v>58430.5</v>
      </c>
      <c r="D4">
        <f>C4-B4</f>
        <v>-1569.5</v>
      </c>
      <c r="E4">
        <f>IF(C4&gt;=B4,"выполнен","не выполнен")</f>
        <v/>
      </c>
    </row>
    <row r="5">
      <c r="A5" t="inlineStr">
        <is>
          <t>2 квартал</t>
        </is>
      </c>
      <c r="B5" t="n">
        <v>72000</v>
      </c>
      <c r="C5" t="n">
        <v>75120</v>
      </c>
      <c r="D5">
        <f>C5-B5</f>
        <v>3120</v>
      </c>
      <c r="E5">
        <f>IF(C5&gt;=B5,"выполнен","не выполнен")</f>
        <v/>
      </c>
    </row>
    <row r="6">
      <c r="A6" t="inlineStr">
        <is>
          <t>3 квартал</t>
        </is>
      </c>
      <c r="B6" t="n">
        <v>65000</v>
      </c>
      <c r="C6" t="n">
        <v>61004.25</v>
      </c>
      <c r="D6">
        <f>C6-B6</f>
        <v>-3995.75</v>
      </c>
      <c r="E6">
        <f>IF(C6&gt;=B6,"выполнен","не выполнен")</f>
        <v/>
      </c>
    </row>
    <row r="7">
      <c r="A7" t="inlineStr">
        <is>
          <t>4 квартал</t>
        </is>
      </c>
      <c r="B7" t="n">
        <v>80000</v>
      </c>
      <c r="C7" t="n">
        <v>79880.75</v>
      </c>
      <c r="D7">
        <f>C7-B7</f>
        <v>-119.25</v>
      </c>
      <c r="E7">
        <f>IF(C7&gt;=B7,"выполнен","не выполнен")</f>
        <v/>
      </c>
    </row>
    <row r="8">
      <c r="A8" s="4" t="inlineStr">
        <is>
          <t>Итого</t>
        </is>
      </c>
      <c r="B8">
        <f>SUM(B4:B7)</f>
        <v>277000</v>
      </c>
      <c r="C8">
        <f>SUM(C4:C7)</f>
        <v>274435.5</v>
      </c>
      <c r="D8">
        <f>SUM(D4:D7)</f>
        <v>-2564.5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Лист намеренно оставлен почти пустым.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Отдел договорной работы</dc:creator>
  <dc:title xmlns:dc="http://purl.org/dc/elements/1.1/">Реестр договоров на 2024 год</dc:title>
  <dcterms:created xmlns:dcterms="http://purl.org/dc/terms/" xmlns:xsi="http://www.w3.org/2001/XMLSchema-instance" xsi:type="dcterms:W3CDTF">2024-01-15T09:00:00Z</dcterms:created>
  <dcterms:modified xmlns:dcterms="http://purl.org/dc/terms/" xmlns:xsi="http://www.w3.org/2001/XMLSchema-instance" xsi:type="dcterms:W3CDTF">2024-01-15T09:00:00Z</dcterms:modified>
  <cp:lastModifiedBy>Отдел договорной работы</cp:lastModifiedBy>
</cp:coreProperties>
</file>